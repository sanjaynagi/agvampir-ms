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0"/>
    <numFmt numFmtId="165" formatCode="[$£-809]#,##0.00;[RED]\-[$£-809]#,##0.00"/>
    <numFmt numFmtId="166" formatCode="#,##0.00\ [$USD];[RED]\-#,##0.00\ [$USD]"/>
    <numFmt numFmtId="167" formatCode="[$£-809]#,##0.000;[RED]\-[$£-809]#,##0.000"/>
  </numFmts>
  <fonts count="8">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libri"/>
      <charset val="1"/>
      <family val="2"/>
      <color rgb="FF808080"/>
      <sz val="11"/>
    </font>
    <font>
      <name val="Aptos"/>
      <charset val="1"/>
      <family val="2"/>
      <b val="1"/>
      <color theme="1"/>
      <sz val="11"/>
    </font>
    <font>
      <name val="Aptos"/>
      <charset val="1"/>
      <family val="2"/>
      <color theme="1"/>
      <sz val="11"/>
    </font>
  </fonts>
  <fills count="3">
    <fill>
      <patternFill/>
    </fill>
    <fill>
      <patternFill patternType="gray125"/>
    </fill>
    <fill>
      <patternFill patternType="solid">
        <fgColor theme="4" tint="0.7999000000000001"/>
        <bgColor rgb="FFCC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right" vertical="bottom"/>
    </xf>
    <xf numFmtId="164" fontId="0" fillId="0" borderId="0" applyAlignment="1" pivotButton="0" quotePrefix="0" xfId="0">
      <alignment horizontal="right" vertical="bottom"/>
    </xf>
    <xf numFmtId="0" fontId="4" fillId="2" borderId="0" applyAlignment="1" pivotButton="0" quotePrefix="0" xfId="0">
      <alignment horizontal="center" vertical="bottom"/>
    </xf>
    <xf numFmtId="164" fontId="4" fillId="2" borderId="0" applyAlignment="1" pivotButton="0" quotePrefix="0" xfId="0">
      <alignment horizontal="right" vertical="bottom"/>
    </xf>
    <xf numFmtId="0" fontId="0" fillId="0" borderId="0" applyAlignment="1" pivotButton="0" quotePrefix="0" xfId="0">
      <alignment horizontal="general" vertical="bottom"/>
    </xf>
    <xf numFmtId="0" fontId="0" fillId="0" borderId="0" applyAlignment="1" pivotButton="0" quotePrefix="0" xfId="0">
      <alignment horizontal="left" vertical="bottom"/>
    </xf>
    <xf numFmtId="0" fontId="0" fillId="0" borderId="0" applyAlignment="1" pivotButton="0" quotePrefix="0" xfId="0">
      <alignment horizontal="center" vertical="bottom"/>
    </xf>
    <xf numFmtId="164" fontId="0" fillId="0" borderId="0" applyAlignment="1" pivotButton="0" quotePrefix="0" xfId="0">
      <alignment horizontal="right"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center" vertical="bottom"/>
    </xf>
    <xf numFmtId="164" fontId="5" fillId="0" borderId="0" applyAlignment="1" pivotButton="0" quotePrefix="0" xfId="0">
      <alignment horizontal="right" vertical="bottom"/>
    </xf>
    <xf numFmtId="165" fontId="5" fillId="0" borderId="0" applyAlignment="1" pivotButton="0" quotePrefix="0" xfId="0">
      <alignment horizontal="general" vertical="bottom"/>
    </xf>
    <xf numFmtId="0" fontId="0" fillId="0" borderId="0" applyAlignment="1" pivotButton="0" quotePrefix="0" xfId="0">
      <alignment horizontal="left" vertical="bottom"/>
    </xf>
    <xf numFmtId="164" fontId="4" fillId="0" borderId="0" applyAlignment="1" pivotButton="0" quotePrefix="0" xfId="0">
      <alignment horizontal="right" vertical="bottom"/>
    </xf>
    <xf numFmtId="167" fontId="0" fillId="0" borderId="0" applyAlignment="1" pivotButton="0" quotePrefix="0" xfId="0">
      <alignment horizontal="general" vertical="bottom"/>
    </xf>
    <xf numFmtId="0" fontId="6" fillId="0" borderId="0" applyAlignment="1" pivotButton="0" quotePrefix="0" xfId="0">
      <alignment horizontal="general" vertical="center"/>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right" vertical="bottom"/>
    </xf>
    <xf numFmtId="164" fontId="0" fillId="0" borderId="0" applyAlignment="1" pivotButton="0" quotePrefix="0" xfId="0">
      <alignment horizontal="right" vertical="bottom"/>
    </xf>
    <xf numFmtId="0" fontId="0" fillId="0" borderId="0" pivotButton="0" quotePrefix="0" xfId="0"/>
    <xf numFmtId="0" fontId="4" fillId="2" borderId="0" applyAlignment="1" pivotButton="0" quotePrefix="0" xfId="0">
      <alignment horizontal="center" vertical="bottom"/>
    </xf>
    <xf numFmtId="164" fontId="4" fillId="2" borderId="0" applyAlignment="1" pivotButton="0" quotePrefix="0" xfId="0">
      <alignment horizontal="right" vertical="bottom"/>
    </xf>
    <xf numFmtId="0" fontId="0" fillId="0" borderId="0" applyAlignment="1" pivotButton="0" quotePrefix="0" xfId="0">
      <alignment horizontal="left"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center" vertical="bottom"/>
    </xf>
    <xf numFmtId="164" fontId="5" fillId="0" borderId="0" applyAlignment="1" pivotButton="0" quotePrefix="0" xfId="0">
      <alignment horizontal="right" vertical="bottom"/>
    </xf>
    <xf numFmtId="165" fontId="5" fillId="0" borderId="0" applyAlignment="1" pivotButton="0" quotePrefix="0" xfId="0">
      <alignment horizontal="general" vertical="bottom"/>
    </xf>
    <xf numFmtId="164" fontId="4" fillId="0" borderId="0" applyAlignment="1" pivotButton="0" quotePrefix="0" xfId="0">
      <alignment horizontal="right" vertical="bottom"/>
    </xf>
    <xf numFmtId="167" fontId="0" fillId="0" borderId="0" applyAlignment="1" pivotButton="0" quotePrefix="0" xfId="0">
      <alignment horizontal="general" vertical="bottom"/>
    </xf>
    <xf numFmtId="0" fontId="6" fillId="0" borderId="0" applyAlignment="1" pivotButton="0" quotePrefix="0" xfId="0">
      <alignment horizontal="general"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1" showOutlineSymbols="1" defaultGridColor="1" view="normal" topLeftCell="A1" colorId="64" zoomScale="90" zoomScaleNormal="90" zoomScalePageLayoutView="100" workbookViewId="0">
      <selection pane="topLeft" activeCell="A30" activeCellId="0" sqref="A30"/>
    </sheetView>
  </sheetViews>
  <sheetFormatPr baseColWidth="8" defaultColWidth="8.6796875" defaultRowHeight="13.8" zeroHeight="0" outlineLevelRow="0"/>
  <cols>
    <col width="20.73" customWidth="1" style="21" min="1" max="1"/>
    <col width="52.73" customWidth="1" style="21" min="2" max="2"/>
    <col width="28.45" customWidth="1" style="22" min="3" max="3"/>
    <col width="18.18" customWidth="1" style="21" min="4" max="4"/>
    <col width="17.45" customWidth="1" style="21" min="5" max="5"/>
    <col width="16.09" customWidth="1" style="23" min="6" max="6"/>
    <col width="27.81" customWidth="1" style="24" min="7" max="7"/>
    <col width="19.01" customWidth="1" style="21" min="8" max="8"/>
    <col width="16.99" customWidth="1" style="21" min="9" max="9"/>
    <col width="27.82" customWidth="1" style="21" min="10" max="10"/>
  </cols>
  <sheetData>
    <row r="1" ht="13.8" customHeight="1" s="25">
      <c r="A1" s="26" t="inlineStr">
        <is>
          <t>Step</t>
        </is>
      </c>
      <c r="B1" s="26" t="inlineStr">
        <is>
          <t>Item</t>
        </is>
      </c>
      <c r="C1" s="26" t="inlineStr">
        <is>
          <t>Supplier</t>
        </is>
      </c>
      <c r="D1" s="26" t="inlineStr">
        <is>
          <t>Catalogue Number</t>
        </is>
      </c>
      <c r="E1" s="26" t="inlineStr">
        <is>
          <t>Quantity</t>
        </is>
      </c>
      <c r="F1" s="27" t="inlineStr">
        <is>
          <t>Unit Price</t>
        </is>
      </c>
      <c r="G1" s="27" t="inlineStr">
        <is>
          <t>Samples per unit (~)</t>
        </is>
      </c>
      <c r="H1" s="27" t="inlineStr">
        <is>
          <t>Cost per Sample</t>
        </is>
      </c>
      <c r="I1" s="27" t="inlineStr">
        <is>
          <t>Notes</t>
        </is>
      </c>
      <c r="J1" s="21" t="inlineStr">
        <is>
          <t>In Dollars (*1.25, 01/01/2025)</t>
        </is>
      </c>
    </row>
    <row r="2" ht="13.8" customFormat="1" customHeight="1" s="21">
      <c r="A2" s="21" t="inlineStr">
        <is>
          <t>DNA Extraction</t>
        </is>
      </c>
      <c r="B2" s="28" t="inlineStr">
        <is>
          <t>DNeasy Blood &amp; Tissue Kit (4 x 96-well)</t>
        </is>
      </c>
      <c r="C2" s="22" t="inlineStr">
        <is>
          <t>Qiagen</t>
        </is>
      </c>
      <c r="D2" s="22" t="n">
        <v>69581</v>
      </c>
      <c r="E2" s="22" t="n"/>
      <c r="F2" s="24" t="n">
        <v>1380.33</v>
      </c>
      <c r="G2" s="21" t="n">
        <v>384</v>
      </c>
      <c r="H2" s="29">
        <f>F2/G2</f>
        <v/>
      </c>
      <c r="J2" s="30">
        <f>H2*1.25</f>
        <v/>
      </c>
    </row>
    <row r="3" ht="13.8" customHeight="1" s="25">
      <c r="A3" s="31" t="inlineStr">
        <is>
          <t>PEP (WGA)</t>
        </is>
      </c>
      <c r="B3" s="31" t="inlineStr">
        <is>
          <t>New England Biolabs Phi29 Enzyme Kit</t>
        </is>
      </c>
      <c r="C3" s="32" t="inlineStr">
        <is>
          <t>New England Biolabs</t>
        </is>
      </c>
      <c r="D3" s="31" t="inlineStr">
        <is>
          <t>M0269L</t>
        </is>
      </c>
      <c r="E3" s="31" t="n">
        <v>1</v>
      </c>
      <c r="F3" s="33" t="n">
        <v>231</v>
      </c>
      <c r="G3" s="31" t="n">
        <v>96</v>
      </c>
      <c r="H3" s="34">
        <f>F3/G3</f>
        <v/>
      </c>
      <c r="I3" s="31" t="inlineStr">
        <is>
          <t>Not necessary</t>
        </is>
      </c>
      <c r="J3" s="30">
        <f>H3*1.25</f>
        <v/>
      </c>
    </row>
    <row r="4" ht="13.8" customHeight="1" s="25">
      <c r="A4" s="31" t="inlineStr">
        <is>
          <t>PEP (WGA)</t>
        </is>
      </c>
      <c r="B4" s="31" t="inlineStr">
        <is>
          <t>Meridian Bioscience dNTP Set 100mM - 4 x 25umol (4 x 250uL)</t>
        </is>
      </c>
      <c r="C4" s="32" t="inlineStr">
        <is>
          <t>Meridian Biosciences</t>
        </is>
      </c>
      <c r="D4" s="31" t="inlineStr">
        <is>
          <t>BIO-39025</t>
        </is>
      </c>
      <c r="E4" s="31" t="n">
        <v>1</v>
      </c>
      <c r="F4" s="33" t="n">
        <v>135.85</v>
      </c>
      <c r="G4" s="31" t="n">
        <v>96</v>
      </c>
      <c r="H4" s="34">
        <f>F4/G4</f>
        <v/>
      </c>
      <c r="I4" s="31" t="inlineStr">
        <is>
          <t>Not necessary</t>
        </is>
      </c>
      <c r="J4" s="30">
        <f>H4*1.25</f>
        <v/>
      </c>
    </row>
    <row r="5" ht="13.8" customHeight="1" s="25">
      <c r="A5" s="21" t="inlineStr">
        <is>
          <t>Multiplex PCR</t>
        </is>
      </c>
      <c r="B5" s="21" t="inlineStr">
        <is>
          <t>Qiagen Multiplex PCR kit (1000)</t>
        </is>
      </c>
      <c r="C5" s="22" t="inlineStr">
        <is>
          <t>Qiagen</t>
        </is>
      </c>
      <c r="D5" s="28" t="n">
        <v>206145</v>
      </c>
      <c r="E5" s="21" t="n">
        <v>1</v>
      </c>
      <c r="F5" s="24" t="n">
        <v>1908</v>
      </c>
      <c r="G5" s="21" t="n">
        <v>1000</v>
      </c>
      <c r="H5" s="29">
        <f>F5/G5</f>
        <v/>
      </c>
      <c r="I5" s="31" t="n"/>
      <c r="J5" s="30">
        <f>H5*1.25</f>
        <v/>
      </c>
    </row>
    <row r="6" ht="13.8" customHeight="1" s="25">
      <c r="A6" s="21" t="inlineStr">
        <is>
          <t>Multiplex PCR</t>
        </is>
      </c>
      <c r="B6" s="21" t="inlineStr">
        <is>
          <t>Ag-vampir Primers</t>
        </is>
      </c>
      <c r="C6" s="22" t="inlineStr">
        <is>
          <t>IDT</t>
        </is>
      </c>
      <c r="F6" s="23" t="n">
        <v>1000</v>
      </c>
      <c r="G6" s="21" t="n">
        <v>10000</v>
      </c>
      <c r="H6" s="29">
        <f>1000/5000</f>
        <v/>
      </c>
      <c r="J6" s="30">
        <f>H6*1.25</f>
        <v/>
      </c>
    </row>
    <row r="7" ht="13.8" customHeight="1" s="25">
      <c r="A7" s="21" t="inlineStr">
        <is>
          <t>Indexing/Barcoding</t>
        </is>
      </c>
      <c r="B7" s="21" t="inlineStr">
        <is>
          <t>i5 &amp; i7 Primers</t>
        </is>
      </c>
      <c r="C7" s="22" t="inlineStr">
        <is>
          <t>IDT</t>
        </is>
      </c>
      <c r="F7" s="23" t="n">
        <v>1000</v>
      </c>
      <c r="G7" s="21" t="n">
        <v>10000</v>
      </c>
      <c r="H7" s="29">
        <f>1000/5000</f>
        <v/>
      </c>
      <c r="J7" s="30">
        <f>H7*1.25</f>
        <v/>
      </c>
    </row>
    <row r="8" ht="13.8" customHeight="1" s="25">
      <c r="A8" s="21" t="inlineStr">
        <is>
          <t>Library Clean Up</t>
        </is>
      </c>
      <c r="B8" s="21" t="inlineStr">
        <is>
          <t>Ampure XP 60ml Magnetic Beads</t>
        </is>
      </c>
      <c r="C8" s="22" t="inlineStr">
        <is>
          <t>Beckman Coulter</t>
        </is>
      </c>
      <c r="D8" s="21" t="inlineStr">
        <is>
          <t>A63881</t>
        </is>
      </c>
      <c r="E8" s="21" t="n">
        <v>1</v>
      </c>
      <c r="F8" s="24" t="n">
        <v>1019</v>
      </c>
      <c r="G8" s="21" t="n">
        <v>2000</v>
      </c>
      <c r="H8" s="29">
        <f>F8/G8</f>
        <v/>
      </c>
      <c r="J8" s="30">
        <f>H8*1.25</f>
        <v/>
      </c>
    </row>
    <row r="9" ht="13.8" customHeight="1" s="25">
      <c r="A9" s="21" t="inlineStr">
        <is>
          <t>Library Quality Control</t>
        </is>
      </c>
      <c r="B9" s="21" t="inlineStr">
        <is>
          <t>High Sensitivity D1000 ScreenTape</t>
        </is>
      </c>
      <c r="C9" s="22" t="inlineStr">
        <is>
          <t>Agilent</t>
        </is>
      </c>
      <c r="D9" s="21" t="inlineStr">
        <is>
          <t>5067-5584</t>
        </is>
      </c>
      <c r="E9" s="21" t="n">
        <v>1</v>
      </c>
      <c r="F9" s="24" t="n">
        <v>256</v>
      </c>
      <c r="G9" s="21" t="n">
        <v>1000</v>
      </c>
      <c r="H9" s="29">
        <f>F9/G9</f>
        <v/>
      </c>
      <c r="J9" s="30">
        <f>H9*1.25</f>
        <v/>
      </c>
    </row>
    <row r="10" ht="13.8" customHeight="1" s="25">
      <c r="A10" s="21" t="inlineStr">
        <is>
          <t>Library Quality Control</t>
        </is>
      </c>
      <c r="B10" s="21" t="inlineStr">
        <is>
          <t>High Sensitivity D1000 Reagents</t>
        </is>
      </c>
      <c r="C10" s="22" t="inlineStr">
        <is>
          <t>Agilent</t>
        </is>
      </c>
      <c r="D10" s="21" t="inlineStr">
        <is>
          <t>5067-5585</t>
        </is>
      </c>
      <c r="E10" s="21" t="n">
        <v>1</v>
      </c>
      <c r="F10" s="24" t="n">
        <v>87</v>
      </c>
      <c r="G10" s="21" t="n">
        <v>1000</v>
      </c>
      <c r="H10" s="29">
        <f>F10/G10</f>
        <v/>
      </c>
      <c r="J10" s="30">
        <f>H10*1.25</f>
        <v/>
      </c>
    </row>
    <row r="11" ht="13.8" customHeight="1" s="25">
      <c r="A11" s="21" t="inlineStr">
        <is>
          <t>Library Quantification</t>
        </is>
      </c>
      <c r="B11" s="21" t="inlineStr">
        <is>
          <t>KAPA qPCR Library quantification kit from Roche Diagnostics</t>
        </is>
      </c>
      <c r="C11" s="22" t="inlineStr">
        <is>
          <t>Roche Diagnostics</t>
        </is>
      </c>
      <c r="D11" s="21" t="inlineStr">
        <is>
          <t>KK4824/07960140001</t>
        </is>
      </c>
      <c r="E11" s="21" t="n">
        <v>1</v>
      </c>
      <c r="F11" s="24" t="n">
        <v>744.27</v>
      </c>
      <c r="G11" s="21" t="n">
        <v>1000</v>
      </c>
      <c r="H11" s="29">
        <f>F11/G11</f>
        <v/>
      </c>
      <c r="J11" s="30">
        <f>H11*1.25</f>
        <v/>
      </c>
    </row>
    <row r="12" ht="13.8" customHeight="1" s="25">
      <c r="A12" s="21" t="inlineStr">
        <is>
          <t xml:space="preserve">Sequencing </t>
        </is>
      </c>
      <c r="B12" s="21" t="inlineStr">
        <is>
          <t>iPCR primer from IDT</t>
        </is>
      </c>
      <c r="C12" s="22" t="inlineStr">
        <is>
          <t>IDT</t>
        </is>
      </c>
      <c r="D12" s="21" t="inlineStr">
        <is>
          <t>N/A</t>
        </is>
      </c>
      <c r="E12" s="21" t="n">
        <v>1</v>
      </c>
      <c r="F12" s="24" t="n">
        <v>12</v>
      </c>
      <c r="G12" s="21" t="n"/>
      <c r="H12" s="29" t="n"/>
      <c r="J12" s="30">
        <f>H12*1.25</f>
        <v/>
      </c>
    </row>
    <row r="13" ht="13.8" customHeight="1" s="25">
      <c r="A13" s="21" t="inlineStr">
        <is>
          <t xml:space="preserve">Sequencing </t>
        </is>
      </c>
      <c r="B13" s="21" t="inlineStr">
        <is>
          <t>Illumina MiSeq® Reagent Kit v2 (300 cycle)</t>
        </is>
      </c>
      <c r="C13" s="22" t="inlineStr">
        <is>
          <t>Illumina</t>
        </is>
      </c>
      <c r="D13" s="21" t="inlineStr">
        <is>
          <t>MS-102-2002</t>
        </is>
      </c>
      <c r="E13" s="21" t="n">
        <v>1</v>
      </c>
      <c r="F13" s="24" t="n">
        <v>1008</v>
      </c>
      <c r="G13" s="21" t="n">
        <v>500</v>
      </c>
      <c r="H13" s="29">
        <f>F13/G13</f>
        <v/>
      </c>
      <c r="J13" s="30">
        <f>H13*1.25</f>
        <v/>
      </c>
    </row>
    <row r="14" ht="13.8" customHeight="1" s="25">
      <c r="A14" s="31" t="inlineStr">
        <is>
          <t xml:space="preserve">Sequencing </t>
        </is>
      </c>
      <c r="B14" s="31" t="inlineStr">
        <is>
          <t>Illumina MiSeq® Reagent Nano Kit v2 (300 cycle)</t>
        </is>
      </c>
      <c r="C14" s="32" t="inlineStr">
        <is>
          <t>Illumina</t>
        </is>
      </c>
      <c r="D14" s="31" t="inlineStr">
        <is>
          <t>MS-103-1001</t>
        </is>
      </c>
      <c r="E14" s="31" t="n">
        <v>1</v>
      </c>
      <c r="F14" s="33" t="n">
        <v>281</v>
      </c>
      <c r="G14" s="31" t="n">
        <v>96</v>
      </c>
      <c r="H14" s="34">
        <f>F14/G14</f>
        <v/>
      </c>
      <c r="I14" s="31" t="inlineStr">
        <is>
          <t>For small scale runs</t>
        </is>
      </c>
      <c r="J14" s="30">
        <f>H14*1.25</f>
        <v/>
      </c>
    </row>
    <row r="15" ht="13.8" customHeight="1" s="25">
      <c r="A15" s="21" t="inlineStr">
        <is>
          <t xml:space="preserve">Sequencing </t>
        </is>
      </c>
      <c r="B15" s="21" t="inlineStr">
        <is>
          <t>Illumina PhiX Sequencing Control V3</t>
        </is>
      </c>
      <c r="C15" s="22" t="inlineStr">
        <is>
          <t>Illumina</t>
        </is>
      </c>
      <c r="D15" s="21" t="inlineStr">
        <is>
          <t>FC-110-3001</t>
        </is>
      </c>
      <c r="E15" s="21" t="n">
        <v>1</v>
      </c>
      <c r="F15" s="24" t="n">
        <v>156</v>
      </c>
      <c r="G15" s="21" t="n">
        <v>3000</v>
      </c>
      <c r="H15" s="29">
        <f>F15/G15</f>
        <v/>
      </c>
      <c r="J15" s="30">
        <f>H15*1.25</f>
        <v/>
      </c>
    </row>
    <row r="16" ht="13.8" customHeight="1" s="25">
      <c r="H16" s="29">
        <f>SUM(H1, H4:H13, H15)</f>
        <v/>
      </c>
      <c r="J16" s="30">
        <f>H16*1.25</f>
        <v/>
      </c>
    </row>
    <row r="17" ht="13.8" customHeight="1" s="25">
      <c r="J17" s="30" t="n"/>
    </row>
    <row r="18" ht="13.8" customHeight="1" s="25">
      <c r="C18" s="21" t="n"/>
      <c r="F18" s="21" t="n"/>
      <c r="G18" s="21" t="n"/>
      <c r="J18" s="30" t="n"/>
    </row>
    <row r="19" ht="13.8" customHeight="1" s="25">
      <c r="G19" s="35" t="inlineStr">
        <is>
          <t>Cost per locus</t>
        </is>
      </c>
      <c r="H19" s="36">
        <f>H16/90</f>
        <v/>
      </c>
      <c r="J19" s="30">
        <f>H19*1.25</f>
        <v/>
      </c>
    </row>
    <row r="26" ht="13.8" customHeight="1" s="25">
      <c r="H26" s="21" t="inlineStr">
        <is>
          <t>qpcr probe assay=</t>
        </is>
      </c>
      <c r="I26" s="21">
        <f>1.98*1.25</f>
        <v/>
      </c>
    </row>
    <row r="30" ht="14.05" customHeight="1" s="25">
      <c r="A30" s="37" t="inlineStr">
        <is>
          <t>Supplementary Table 4: Consumable costs for amplicon-based MiSeq sequencing on a standard Illumina MiSeq v2 Flow cell. The per sample costs for the Illumina MiSeq Reagent Kits v2 are calculated assuming 500 samples are run per Illumina MiSeq v2 flow cell. Costs were retrieved from supplier websites on 18 MAR 2024 and converted to US dollars at 1.25 (as of 1 January 2025). Costs include indexed i5 and i7 barcode primers.</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Faisal Ashraf</dc:creator>
  <dc:language>en-US</dc:language>
  <dcterms:created xsi:type="dcterms:W3CDTF">2023-09-20T09:20:10Z</dcterms:created>
  <dcterms:modified xsi:type="dcterms:W3CDTF">2026-10-07T22:55:36Z</dcterms:modified>
  <cp:lastModifiedBy>Sanjay Nagi</cp:lastModifiedBy>
  <cp:revision>7</cp:revision>
</cp:coreProperties>
</file>